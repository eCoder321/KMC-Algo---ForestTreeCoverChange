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phoenix/Downloads/"/>
    </mc:Choice>
  </mc:AlternateContent>
  <xr:revisionPtr revIDLastSave="0" documentId="13_ncr:1_{DDEBB374-6BE5-DB40-B891-C924D7BD7703}" xr6:coauthVersionLast="47" xr6:coauthVersionMax="47" xr10:uidLastSave="{00000000-0000-0000-0000-000000000000}"/>
  <bookViews>
    <workbookView xWindow="380" yWindow="500" windowWidth="28040" windowHeight="15980" xr2:uid="{345D43BE-205B-794B-A7DA-5FEF852B675E}"/>
  </bookViews>
  <sheets>
    <sheet name="consolidated_tree_cover_detai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 l="1"/>
  <c r="Q6" i="1"/>
  <c r="N2" i="1"/>
  <c r="Q3" i="1"/>
  <c r="Q5" i="1"/>
  <c r="O4" i="1"/>
  <c r="O3" i="1"/>
  <c r="O2" i="1"/>
  <c r="O5" i="1"/>
  <c r="O6" i="1"/>
  <c r="Q2" i="1"/>
  <c r="H2" i="1" a="1"/>
  <c r="J4" i="1" l="1"/>
  <c r="M2" i="1" s="1"/>
  <c r="J6" i="1"/>
  <c r="J7" i="1"/>
  <c r="J8" i="1"/>
  <c r="M3" i="1" s="1"/>
  <c r="J9" i="1"/>
  <c r="I2" i="1"/>
  <c r="J3" i="1"/>
  <c r="M5" i="1" s="1"/>
  <c r="J2" i="1"/>
  <c r="M4" i="1" s="1"/>
  <c r="J5" i="1"/>
  <c r="M6" i="1" s="1"/>
  <c r="I9" i="1"/>
  <c r="I8" i="1"/>
  <c r="L3" i="1" s="1"/>
  <c r="N3" i="1" s="1"/>
  <c r="I7" i="1"/>
  <c r="I6" i="1"/>
  <c r="I4" i="1"/>
  <c r="L2" i="1" s="1"/>
  <c r="I3" i="1"/>
  <c r="I5" i="1"/>
  <c r="L6" i="1" s="1"/>
  <c r="N6" i="1" s="1"/>
  <c r="J10" i="1" l="1"/>
  <c r="L5" i="1"/>
  <c r="N5" i="1" s="1"/>
  <c r="L4" i="1"/>
  <c r="N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<sst xmlns="http://schemas.openxmlformats.org/spreadsheetml/2006/main" count="213" uniqueCount="34">
  <si>
    <t>drivers_type</t>
  </si>
  <si>
    <t>loss_year</t>
  </si>
  <si>
    <t>loss_area_ha</t>
  </si>
  <si>
    <t>gross_carbon_emissions_Mg</t>
  </si>
  <si>
    <t>tree_cover_extent_2000__ha (starting tree cover in 2000)</t>
  </si>
  <si>
    <t>area__ha (total area)</t>
  </si>
  <si>
    <t>tree_cover_gain__ha (2000-2020)</t>
  </si>
  <si>
    <t>Logging</t>
  </si>
  <si>
    <t>Other natural disturbances</t>
  </si>
  <si>
    <t>Permanent agriculture</t>
  </si>
  <si>
    <t>Settlements &amp; Infrastructure</t>
  </si>
  <si>
    <t>Shifting cultivation</t>
  </si>
  <si>
    <t>Unknown</t>
  </si>
  <si>
    <t>Wildfire</t>
  </si>
  <si>
    <t>Hard commodities</t>
  </si>
  <si>
    <t>unique_event_types</t>
  </si>
  <si>
    <t>fixed_rates_2012</t>
  </si>
  <si>
    <t>Statistics</t>
  </si>
  <si>
    <t>pct_lost</t>
  </si>
  <si>
    <t>pct_remaining</t>
  </si>
  <si>
    <t>cum_tree_cover_loss_2012</t>
  </si>
  <si>
    <t>refined_events</t>
  </si>
  <si>
    <t>Burned</t>
  </si>
  <si>
    <t>Logged / degraded</t>
  </si>
  <si>
    <t>Other temporary disturbance</t>
  </si>
  <si>
    <t>Settlement / infrastructure</t>
  </si>
  <si>
    <t>refined_cum_tree_cover_loss_2012</t>
  </si>
  <si>
    <t>total_tree_cover_loss</t>
  </si>
  <si>
    <t>cum_tree_cover_loss_2024</t>
  </si>
  <si>
    <t>refined_cum_tree_cover_loss_2024</t>
  </si>
  <si>
    <t>pct_gained</t>
  </si>
  <si>
    <t>fixed_rates_2024</t>
  </si>
  <si>
    <t>regrowth_rate</t>
  </si>
  <si>
    <t>assuming uniform tree cover gain per year
also assuming that regrowth started being tracked in 2001, similar to how the forest data was being tracked, thus the divisor by 19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</si>
</sst>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B4E1-2DB7-1A45-A528-2CD6AE6CC67F}">
  <dimension ref="A1:R187"/>
  <sheetViews>
    <sheetView tabSelected="1" topLeftCell="K1" workbookViewId="0">
      <selection activeCell="Q5" sqref="Q5"/>
    </sheetView>
  </sheetViews>
  <sheetFormatPr baseColWidth="10" defaultRowHeight="16" x14ac:dyDescent="0.2"/>
  <cols>
    <col min="8" max="8" width="20.83203125" customWidth="1"/>
    <col min="9" max="10" width="25" customWidth="1"/>
    <col min="11" max="11" width="23.5" customWidth="1"/>
    <col min="12" max="13" width="29" customWidth="1"/>
    <col min="14" max="15" width="18" customWidth="1"/>
    <col min="16" max="16" width="24.1640625" customWidth="1"/>
    <col min="17" max="17" width="12.1640625" bestFit="1" customWidth="1"/>
    <col min="18" max="18" width="76.83203125" customWidth="1"/>
  </cols>
  <sheetData>
    <row r="1" spans="1:18" x14ac:dyDescent="0.2">
      <c r="A1" t="s">
        <v>0</v>
      </c>
      <c r="B1" t="s">
        <v>1</v>
      </c>
      <c r="C1" t="s">
        <v>2</v>
      </c>
      <c r="D1" t="s">
        <v>3</v>
      </c>
      <c r="E1" t="s">
        <v>4</v>
      </c>
      <c r="F1" t="s">
        <v>5</v>
      </c>
      <c r="G1" t="s">
        <v>6</v>
      </c>
      <c r="H1" t="s">
        <v>15</v>
      </c>
      <c r="I1" t="s">
        <v>20</v>
      </c>
      <c r="J1" t="s">
        <v>28</v>
      </c>
      <c r="K1" t="s">
        <v>21</v>
      </c>
      <c r="L1" t="s">
        <v>26</v>
      </c>
      <c r="M1" t="s">
        <v>29</v>
      </c>
      <c r="N1" t="s">
        <v>16</v>
      </c>
      <c r="O1" t="s">
        <v>31</v>
      </c>
      <c r="P1" s="1" t="s">
        <v>17</v>
      </c>
    </row>
    <row r="2" spans="1:18" x14ac:dyDescent="0.2">
      <c r="A2" t="s">
        <v>7</v>
      </c>
      <c r="B2">
        <v>2001</v>
      </c>
      <c r="C2">
        <v>292.68049000000002</v>
      </c>
      <c r="D2">
        <v>196628.47210000001</v>
      </c>
      <c r="E2">
        <v>18679191.010000002</v>
      </c>
      <c r="F2">
        <v>19076765.399999999</v>
      </c>
      <c r="G2">
        <v>24307.555069999999</v>
      </c>
      <c r="H2" t="str" cm="1">
        <f t="array" ref="H2:H9">_xlfn.UNIQUE(A2:A100)</f>
        <v>Logging</v>
      </c>
      <c r="I2">
        <f t="shared" ref="I2:I9" si="0">SUMIFS($C:$C, $A:$A, H2, $B:$B, "&lt;=2012")</f>
        <v>6827.0905099999982</v>
      </c>
      <c r="J2">
        <f>SUMIFS($C:$C, $A:$A, H2)</f>
        <v>25310.429409999975</v>
      </c>
      <c r="K2" t="s">
        <v>9</v>
      </c>
      <c r="L2">
        <f>I4+I9</f>
        <v>304913.05731999985</v>
      </c>
      <c r="M2">
        <f>J4+J9</f>
        <v>990957.82149999973</v>
      </c>
      <c r="N2">
        <f>L2/($E$2*12)</f>
        <v>1.3603063125019845E-3</v>
      </c>
      <c r="O2">
        <f>M2/($E$2*24)</f>
        <v>2.2104763106208345E-3</v>
      </c>
      <c r="P2" t="s">
        <v>27</v>
      </c>
      <c r="Q2">
        <f>SUM(C2:C187)</f>
        <v>1171563.3325200004</v>
      </c>
    </row>
    <row r="3" spans="1:18" x14ac:dyDescent="0.2">
      <c r="A3" t="s">
        <v>8</v>
      </c>
      <c r="B3">
        <v>2001</v>
      </c>
      <c r="C3">
        <v>498.28226999999998</v>
      </c>
      <c r="D3">
        <v>270007.2242</v>
      </c>
      <c r="H3" t="str">
        <v>Other natural disturbances</v>
      </c>
      <c r="I3">
        <f t="shared" si="0"/>
        <v>14646.12516999999</v>
      </c>
      <c r="J3">
        <f t="shared" ref="J3:J9" si="1">SUMIFS($C:$C, $A:$A, H3)</f>
        <v>28527.944599999984</v>
      </c>
      <c r="K3" t="s">
        <v>22</v>
      </c>
      <c r="L3">
        <f>I8</f>
        <v>15865.527700000001</v>
      </c>
      <c r="M3">
        <f>J8</f>
        <v>106365.21415</v>
      </c>
      <c r="N3">
        <f t="shared" ref="N3:N6" si="2">L3/($E$2*12)</f>
        <v>7.0780758525651656E-5</v>
      </c>
      <c r="O3">
        <f>M3/($E$2*24)</f>
        <v>2.37263162015102E-4</v>
      </c>
      <c r="P3" t="s">
        <v>18</v>
      </c>
      <c r="Q3">
        <f>Q2/E2</f>
        <v>6.2720239430754679E-2</v>
      </c>
    </row>
    <row r="4" spans="1:18" x14ac:dyDescent="0.2">
      <c r="A4" t="s">
        <v>9</v>
      </c>
      <c r="B4">
        <v>2001</v>
      </c>
      <c r="C4">
        <v>17425.458139999999</v>
      </c>
      <c r="D4">
        <v>12198445.699999999</v>
      </c>
      <c r="H4" t="str">
        <v>Permanent agriculture</v>
      </c>
      <c r="I4">
        <f t="shared" si="0"/>
        <v>304898.80187999987</v>
      </c>
      <c r="J4">
        <f t="shared" si="1"/>
        <v>990896.52190999978</v>
      </c>
      <c r="K4" t="s">
        <v>23</v>
      </c>
      <c r="L4">
        <f>I2</f>
        <v>6827.0905099999982</v>
      </c>
      <c r="M4">
        <f>J2</f>
        <v>25310.429409999975</v>
      </c>
      <c r="N4">
        <f t="shared" si="2"/>
        <v>3.0457647168021894E-5</v>
      </c>
      <c r="O4">
        <f>M4/($E$2*24)</f>
        <v>5.6458613483425458E-5</v>
      </c>
      <c r="P4" t="s">
        <v>30</v>
      </c>
      <c r="Q4">
        <f>G2/E2</f>
        <v>1.3013173352629042E-3</v>
      </c>
    </row>
    <row r="5" spans="1:18" x14ac:dyDescent="0.2">
      <c r="A5" t="s">
        <v>10</v>
      </c>
      <c r="B5">
        <v>2001</v>
      </c>
      <c r="C5">
        <v>28.337309999999999</v>
      </c>
      <c r="D5">
        <v>14960.49656</v>
      </c>
      <c r="H5" t="str">
        <v>Settlements &amp; Infrastructure</v>
      </c>
      <c r="I5">
        <f t="shared" si="0"/>
        <v>189.23837999999989</v>
      </c>
      <c r="J5">
        <f t="shared" si="1"/>
        <v>286.22996999999987</v>
      </c>
      <c r="K5" t="s">
        <v>24</v>
      </c>
      <c r="L5">
        <f>I3+I6+I7</f>
        <v>24839.285599999988</v>
      </c>
      <c r="M5">
        <f>J3+J6+J7</f>
        <v>48643.637489999986</v>
      </c>
      <c r="N5">
        <f t="shared" si="2"/>
        <v>1.1081531665683553E-4</v>
      </c>
      <c r="O5">
        <f t="shared" ref="O5:O6" si="3">M5/($E$2*24)</f>
        <v>1.0850674569711996E-4</v>
      </c>
      <c r="P5" t="s">
        <v>19</v>
      </c>
      <c r="Q5">
        <f>1-Q3+Q4</f>
        <v>0.93858107790450829</v>
      </c>
    </row>
    <row r="6" spans="1:18" ht="49" customHeight="1" x14ac:dyDescent="0.2">
      <c r="A6" t="s">
        <v>11</v>
      </c>
      <c r="B6">
        <v>2001</v>
      </c>
      <c r="C6">
        <v>516.57345999999995</v>
      </c>
      <c r="D6">
        <v>370834.7303</v>
      </c>
      <c r="H6" t="str">
        <v>Shifting cultivation</v>
      </c>
      <c r="I6">
        <f t="shared" si="0"/>
        <v>7885.5424200000007</v>
      </c>
      <c r="J6">
        <f t="shared" si="1"/>
        <v>16314.13486</v>
      </c>
      <c r="K6" t="s">
        <v>25</v>
      </c>
      <c r="L6">
        <f>I5</f>
        <v>189.23837999999989</v>
      </c>
      <c r="M6">
        <f>J5</f>
        <v>286.22996999999987</v>
      </c>
      <c r="N6">
        <f t="shared" si="2"/>
        <v>8.4424775096295734E-7</v>
      </c>
      <c r="O6">
        <f t="shared" si="3"/>
        <v>6.3847779829518404E-7</v>
      </c>
      <c r="P6" t="s">
        <v>32</v>
      </c>
      <c r="Q6">
        <f>G2/(E2*19)</f>
        <v>6.8490386066468633E-5</v>
      </c>
      <c r="R6" s="2" t="s">
        <v>33</v>
      </c>
    </row>
    <row r="7" spans="1:18" x14ac:dyDescent="0.2">
      <c r="A7" t="s">
        <v>12</v>
      </c>
      <c r="B7">
        <v>2001</v>
      </c>
      <c r="C7">
        <v>166.85283999999999</v>
      </c>
      <c r="D7">
        <v>115670.75930000001</v>
      </c>
      <c r="H7" t="str">
        <v>Unknown</v>
      </c>
      <c r="I7">
        <f t="shared" si="0"/>
        <v>2307.6180099999992</v>
      </c>
      <c r="J7">
        <f t="shared" si="1"/>
        <v>3801.5580299999983</v>
      </c>
    </row>
    <row r="8" spans="1:18" x14ac:dyDescent="0.2">
      <c r="A8" t="s">
        <v>13</v>
      </c>
      <c r="B8">
        <v>2001</v>
      </c>
      <c r="C8">
        <v>268.81885999999997</v>
      </c>
      <c r="D8">
        <v>155273.53570000001</v>
      </c>
      <c r="H8" t="str">
        <v>Wildfire</v>
      </c>
      <c r="I8">
        <f t="shared" si="0"/>
        <v>15865.527700000001</v>
      </c>
      <c r="J8">
        <f t="shared" si="1"/>
        <v>106365.21415</v>
      </c>
    </row>
    <row r="9" spans="1:18" x14ac:dyDescent="0.2">
      <c r="A9" t="s">
        <v>7</v>
      </c>
      <c r="B9">
        <v>2002</v>
      </c>
      <c r="C9">
        <v>226.82393999999999</v>
      </c>
      <c r="D9">
        <v>151404.5049</v>
      </c>
      <c r="H9" t="str">
        <v>Hard commodities</v>
      </c>
      <c r="I9">
        <f t="shared" si="0"/>
        <v>14.255439999999981</v>
      </c>
      <c r="J9">
        <f t="shared" si="1"/>
        <v>61.299589999999988</v>
      </c>
    </row>
    <row r="10" spans="1:18" x14ac:dyDescent="0.2">
      <c r="A10" t="s">
        <v>8</v>
      </c>
      <c r="B10">
        <v>2002</v>
      </c>
      <c r="C10">
        <v>330.87896000000001</v>
      </c>
      <c r="D10">
        <v>198182.3425</v>
      </c>
      <c r="J10">
        <f>SUM(J2:J9)</f>
        <v>1171563.3325199995</v>
      </c>
    </row>
    <row r="11" spans="1:18" x14ac:dyDescent="0.2">
      <c r="A11" t="s">
        <v>9</v>
      </c>
      <c r="B11">
        <v>2002</v>
      </c>
      <c r="C11">
        <v>18701.977790000001</v>
      </c>
      <c r="D11">
        <v>13920625.34</v>
      </c>
    </row>
    <row r="12" spans="1:18" x14ac:dyDescent="0.2">
      <c r="A12" t="s">
        <v>10</v>
      </c>
      <c r="B12">
        <v>2002</v>
      </c>
      <c r="C12">
        <v>6.8473499999999996</v>
      </c>
      <c r="D12">
        <v>3379.4733099999999</v>
      </c>
    </row>
    <row r="13" spans="1:18" x14ac:dyDescent="0.2">
      <c r="A13" t="s">
        <v>11</v>
      </c>
      <c r="B13">
        <v>2002</v>
      </c>
      <c r="C13">
        <v>463.37196</v>
      </c>
      <c r="D13">
        <v>346028.66970000003</v>
      </c>
    </row>
    <row r="14" spans="1:18" x14ac:dyDescent="0.2">
      <c r="A14" t="s">
        <v>12</v>
      </c>
      <c r="B14">
        <v>2002</v>
      </c>
      <c r="C14">
        <v>142.91739999999999</v>
      </c>
      <c r="D14">
        <v>100137.3266</v>
      </c>
    </row>
    <row r="15" spans="1:18" x14ac:dyDescent="0.2">
      <c r="A15" t="s">
        <v>13</v>
      </c>
      <c r="B15">
        <v>2002</v>
      </c>
      <c r="C15">
        <v>166.24782999999999</v>
      </c>
      <c r="D15">
        <v>95624.052979999993</v>
      </c>
    </row>
    <row r="16" spans="1:18" x14ac:dyDescent="0.2">
      <c r="A16" t="s">
        <v>7</v>
      </c>
      <c r="B16">
        <v>2003</v>
      </c>
      <c r="C16">
        <v>183.4556</v>
      </c>
      <c r="D16">
        <v>115729.8192</v>
      </c>
    </row>
    <row r="17" spans="1:4" x14ac:dyDescent="0.2">
      <c r="A17" t="s">
        <v>8</v>
      </c>
      <c r="B17">
        <v>2003</v>
      </c>
      <c r="C17">
        <v>271.38648999999998</v>
      </c>
      <c r="D17">
        <v>159022.66850999999</v>
      </c>
    </row>
    <row r="18" spans="1:4" x14ac:dyDescent="0.2">
      <c r="A18" t="s">
        <v>9</v>
      </c>
      <c r="B18">
        <v>2003</v>
      </c>
      <c r="C18">
        <v>36967.030740000002</v>
      </c>
      <c r="D18">
        <v>28515200.129999999</v>
      </c>
    </row>
    <row r="19" spans="1:4" x14ac:dyDescent="0.2">
      <c r="A19" t="s">
        <v>10</v>
      </c>
      <c r="B19">
        <v>2003</v>
      </c>
      <c r="C19">
        <v>9.1376099999999898</v>
      </c>
      <c r="D19">
        <v>4705.76307</v>
      </c>
    </row>
    <row r="20" spans="1:4" x14ac:dyDescent="0.2">
      <c r="A20" t="s">
        <v>11</v>
      </c>
      <c r="B20">
        <v>2003</v>
      </c>
      <c r="C20">
        <v>405.31457999999998</v>
      </c>
      <c r="D20">
        <v>297366.99859999999</v>
      </c>
    </row>
    <row r="21" spans="1:4" x14ac:dyDescent="0.2">
      <c r="A21" t="s">
        <v>12</v>
      </c>
      <c r="B21">
        <v>2003</v>
      </c>
      <c r="C21">
        <v>102.213619999999</v>
      </c>
      <c r="D21">
        <v>70447.188909999997</v>
      </c>
    </row>
    <row r="22" spans="1:4" x14ac:dyDescent="0.2">
      <c r="A22" t="s">
        <v>13</v>
      </c>
      <c r="B22">
        <v>2003</v>
      </c>
      <c r="C22">
        <v>210.44328999999999</v>
      </c>
      <c r="D22">
        <v>113286.0773</v>
      </c>
    </row>
    <row r="23" spans="1:4" x14ac:dyDescent="0.2">
      <c r="A23" t="s">
        <v>14</v>
      </c>
      <c r="B23">
        <v>2004</v>
      </c>
      <c r="C23">
        <v>2.13729999999999</v>
      </c>
      <c r="D23">
        <v>1241.5440000000001</v>
      </c>
    </row>
    <row r="24" spans="1:4" x14ac:dyDescent="0.2">
      <c r="A24" t="s">
        <v>7</v>
      </c>
      <c r="B24">
        <v>2004</v>
      </c>
      <c r="C24">
        <v>598.78011000000004</v>
      </c>
      <c r="D24">
        <v>395979.8505</v>
      </c>
    </row>
    <row r="25" spans="1:4" x14ac:dyDescent="0.2">
      <c r="A25" t="s">
        <v>8</v>
      </c>
      <c r="B25">
        <v>2004</v>
      </c>
      <c r="C25">
        <v>300.10638</v>
      </c>
      <c r="D25">
        <v>181117.64319999999</v>
      </c>
    </row>
    <row r="26" spans="1:4" x14ac:dyDescent="0.2">
      <c r="A26" t="s">
        <v>9</v>
      </c>
      <c r="B26">
        <v>2004</v>
      </c>
      <c r="C26">
        <v>24867.847580000001</v>
      </c>
      <c r="D26">
        <v>18759748.030000001</v>
      </c>
    </row>
    <row r="27" spans="1:4" x14ac:dyDescent="0.2">
      <c r="A27" t="s">
        <v>10</v>
      </c>
      <c r="B27">
        <v>2004</v>
      </c>
      <c r="C27">
        <v>5.9478299999999997</v>
      </c>
      <c r="D27">
        <v>3196.49602</v>
      </c>
    </row>
    <row r="28" spans="1:4" x14ac:dyDescent="0.2">
      <c r="A28" t="s">
        <v>11</v>
      </c>
      <c r="B28">
        <v>2004</v>
      </c>
      <c r="C28">
        <v>867.63184000000001</v>
      </c>
      <c r="D28">
        <v>649673.22080000001</v>
      </c>
    </row>
    <row r="29" spans="1:4" x14ac:dyDescent="0.2">
      <c r="A29" t="s">
        <v>12</v>
      </c>
      <c r="B29">
        <v>2004</v>
      </c>
      <c r="C29">
        <v>142.88675000000001</v>
      </c>
      <c r="D29">
        <v>98772.276089999999</v>
      </c>
    </row>
    <row r="30" spans="1:4" x14ac:dyDescent="0.2">
      <c r="A30" t="s">
        <v>13</v>
      </c>
      <c r="B30">
        <v>2004</v>
      </c>
      <c r="C30">
        <v>202.40526</v>
      </c>
      <c r="D30">
        <v>128108.8487</v>
      </c>
    </row>
    <row r="31" spans="1:4" x14ac:dyDescent="0.2">
      <c r="A31" t="s">
        <v>14</v>
      </c>
      <c r="B31">
        <v>2005</v>
      </c>
      <c r="C31">
        <v>1.4482699999999999</v>
      </c>
      <c r="D31">
        <v>886.90150000000006</v>
      </c>
    </row>
    <row r="32" spans="1:4" x14ac:dyDescent="0.2">
      <c r="A32" t="s">
        <v>7</v>
      </c>
      <c r="B32">
        <v>2005</v>
      </c>
      <c r="C32">
        <v>859.06521999999995</v>
      </c>
      <c r="D32">
        <v>493238.04749999999</v>
      </c>
    </row>
    <row r="33" spans="1:4" x14ac:dyDescent="0.2">
      <c r="A33" t="s">
        <v>8</v>
      </c>
      <c r="B33">
        <v>2005</v>
      </c>
      <c r="C33">
        <v>1330.6497899999999</v>
      </c>
      <c r="D33">
        <v>806150.30149999994</v>
      </c>
    </row>
    <row r="34" spans="1:4" x14ac:dyDescent="0.2">
      <c r="A34" t="s">
        <v>9</v>
      </c>
      <c r="B34">
        <v>2005</v>
      </c>
      <c r="C34">
        <v>51194.370439999999</v>
      </c>
      <c r="D34">
        <v>37782430.939999998</v>
      </c>
    </row>
    <row r="35" spans="1:4" x14ac:dyDescent="0.2">
      <c r="A35" t="s">
        <v>10</v>
      </c>
      <c r="B35">
        <v>2005</v>
      </c>
      <c r="C35">
        <v>38.170019999999901</v>
      </c>
      <c r="D35">
        <v>19091.3706099999</v>
      </c>
    </row>
    <row r="36" spans="1:4" x14ac:dyDescent="0.2">
      <c r="A36" t="s">
        <v>11</v>
      </c>
      <c r="B36">
        <v>2005</v>
      </c>
      <c r="C36">
        <v>1022.19566</v>
      </c>
      <c r="D36">
        <v>768576.81579999998</v>
      </c>
    </row>
    <row r="37" spans="1:4" x14ac:dyDescent="0.2">
      <c r="A37" t="s">
        <v>12</v>
      </c>
      <c r="B37">
        <v>2005</v>
      </c>
      <c r="C37">
        <v>115.88708</v>
      </c>
      <c r="D37">
        <v>74497.172779999994</v>
      </c>
    </row>
    <row r="38" spans="1:4" x14ac:dyDescent="0.2">
      <c r="A38" t="s">
        <v>13</v>
      </c>
      <c r="B38">
        <v>2005</v>
      </c>
      <c r="C38">
        <v>527.03339000000005</v>
      </c>
      <c r="D38">
        <v>274657.86499999999</v>
      </c>
    </row>
    <row r="39" spans="1:4" x14ac:dyDescent="0.2">
      <c r="A39" t="s">
        <v>14</v>
      </c>
      <c r="B39">
        <v>2006</v>
      </c>
      <c r="C39">
        <v>3.0471900000000001</v>
      </c>
      <c r="D39">
        <v>1950.4241099999999</v>
      </c>
    </row>
    <row r="40" spans="1:4" x14ac:dyDescent="0.2">
      <c r="A40" t="s">
        <v>7</v>
      </c>
      <c r="B40">
        <v>2006</v>
      </c>
      <c r="C40">
        <v>1076.6935800000001</v>
      </c>
      <c r="D40">
        <v>591810.73439999996</v>
      </c>
    </row>
    <row r="41" spans="1:4" x14ac:dyDescent="0.2">
      <c r="A41" t="s">
        <v>8</v>
      </c>
      <c r="B41">
        <v>2006</v>
      </c>
      <c r="C41">
        <v>1945.0536199999999</v>
      </c>
      <c r="D41">
        <v>1206384.2890000001</v>
      </c>
    </row>
    <row r="42" spans="1:4" x14ac:dyDescent="0.2">
      <c r="A42" t="s">
        <v>9</v>
      </c>
      <c r="B42">
        <v>2006</v>
      </c>
      <c r="C42">
        <v>44330.5097199999</v>
      </c>
      <c r="D42">
        <v>34675468.789999999</v>
      </c>
    </row>
    <row r="43" spans="1:4" x14ac:dyDescent="0.2">
      <c r="A43" t="s">
        <v>10</v>
      </c>
      <c r="B43">
        <v>2006</v>
      </c>
      <c r="C43">
        <v>7.5313699999999901</v>
      </c>
      <c r="D43">
        <v>4657.44182</v>
      </c>
    </row>
    <row r="44" spans="1:4" x14ac:dyDescent="0.2">
      <c r="A44" t="s">
        <v>11</v>
      </c>
      <c r="B44">
        <v>2006</v>
      </c>
      <c r="C44">
        <v>937.05483000000004</v>
      </c>
      <c r="D44">
        <v>748316.05830000003</v>
      </c>
    </row>
    <row r="45" spans="1:4" x14ac:dyDescent="0.2">
      <c r="A45" t="s">
        <v>12</v>
      </c>
      <c r="B45">
        <v>2006</v>
      </c>
      <c r="C45">
        <v>156.98554999999999</v>
      </c>
      <c r="D45">
        <v>103736.4987</v>
      </c>
    </row>
    <row r="46" spans="1:4" x14ac:dyDescent="0.2">
      <c r="A46" t="s">
        <v>13</v>
      </c>
      <c r="B46">
        <v>2006</v>
      </c>
      <c r="C46">
        <v>2977.4140600000001</v>
      </c>
      <c r="D46">
        <v>1028160.49466999</v>
      </c>
    </row>
    <row r="47" spans="1:4" x14ac:dyDescent="0.2">
      <c r="A47" t="s">
        <v>14</v>
      </c>
      <c r="B47">
        <v>2007</v>
      </c>
      <c r="C47">
        <v>0.76180000000000003</v>
      </c>
      <c r="D47">
        <v>485.57990000000001</v>
      </c>
    </row>
    <row r="48" spans="1:4" x14ac:dyDescent="0.2">
      <c r="A48" t="s">
        <v>7</v>
      </c>
      <c r="B48">
        <v>2007</v>
      </c>
      <c r="C48">
        <v>1275.28766</v>
      </c>
      <c r="D48">
        <v>759951.09299999999</v>
      </c>
    </row>
    <row r="49" spans="1:4" x14ac:dyDescent="0.2">
      <c r="A49" t="s">
        <v>8</v>
      </c>
      <c r="B49">
        <v>2007</v>
      </c>
      <c r="C49">
        <v>1371.4224400000001</v>
      </c>
      <c r="D49">
        <v>802507.7585</v>
      </c>
    </row>
    <row r="50" spans="1:4" x14ac:dyDescent="0.2">
      <c r="A50" t="s">
        <v>9</v>
      </c>
      <c r="B50">
        <v>2007</v>
      </c>
      <c r="C50">
        <v>16022.193310000001</v>
      </c>
      <c r="D50">
        <v>11770527.5843399</v>
      </c>
    </row>
    <row r="51" spans="1:4" x14ac:dyDescent="0.2">
      <c r="A51" t="s">
        <v>10</v>
      </c>
      <c r="B51">
        <v>2007</v>
      </c>
      <c r="C51">
        <v>13.67076</v>
      </c>
      <c r="D51">
        <v>6717.5444200000002</v>
      </c>
    </row>
    <row r="52" spans="1:4" x14ac:dyDescent="0.2">
      <c r="A52" t="s">
        <v>11</v>
      </c>
      <c r="B52">
        <v>2007</v>
      </c>
      <c r="C52">
        <v>860.38972999999999</v>
      </c>
      <c r="D52">
        <v>618670.69872999995</v>
      </c>
    </row>
    <row r="53" spans="1:4" x14ac:dyDescent="0.2">
      <c r="A53" t="s">
        <v>12</v>
      </c>
      <c r="B53">
        <v>2007</v>
      </c>
      <c r="C53">
        <v>127.82742</v>
      </c>
      <c r="D53">
        <v>85981.685150000005</v>
      </c>
    </row>
    <row r="54" spans="1:4" x14ac:dyDescent="0.2">
      <c r="A54" t="s">
        <v>13</v>
      </c>
      <c r="B54">
        <v>2007</v>
      </c>
      <c r="C54">
        <v>1730.04394</v>
      </c>
      <c r="D54">
        <v>1022635.66</v>
      </c>
    </row>
    <row r="55" spans="1:4" x14ac:dyDescent="0.2">
      <c r="A55" t="s">
        <v>14</v>
      </c>
      <c r="B55">
        <v>2008</v>
      </c>
      <c r="C55">
        <v>1.14377</v>
      </c>
      <c r="D55">
        <v>600.04268000000002</v>
      </c>
    </row>
    <row r="56" spans="1:4" x14ac:dyDescent="0.2">
      <c r="A56" t="s">
        <v>7</v>
      </c>
      <c r="B56">
        <v>2008</v>
      </c>
      <c r="C56">
        <v>401.96598</v>
      </c>
      <c r="D56">
        <v>243301.32329999999</v>
      </c>
    </row>
    <row r="57" spans="1:4" x14ac:dyDescent="0.2">
      <c r="A57" t="s">
        <v>8</v>
      </c>
      <c r="B57">
        <v>2008</v>
      </c>
      <c r="C57">
        <v>595.99297999999999</v>
      </c>
      <c r="D57">
        <v>351818.48879999999</v>
      </c>
    </row>
    <row r="58" spans="1:4" x14ac:dyDescent="0.2">
      <c r="A58" t="s">
        <v>9</v>
      </c>
      <c r="B58">
        <v>2008</v>
      </c>
      <c r="C58">
        <v>22003.79062</v>
      </c>
      <c r="D58">
        <v>16472797.130000001</v>
      </c>
    </row>
    <row r="59" spans="1:4" x14ac:dyDescent="0.2">
      <c r="A59" t="s">
        <v>10</v>
      </c>
      <c r="B59">
        <v>2008</v>
      </c>
      <c r="C59">
        <v>9.4584399999999995</v>
      </c>
      <c r="D59">
        <v>4105.6059599999999</v>
      </c>
    </row>
    <row r="60" spans="1:4" x14ac:dyDescent="0.2">
      <c r="A60" t="s">
        <v>11</v>
      </c>
      <c r="B60">
        <v>2008</v>
      </c>
      <c r="C60">
        <v>585.17543999999998</v>
      </c>
      <c r="D60">
        <v>436581.2966</v>
      </c>
    </row>
    <row r="61" spans="1:4" x14ac:dyDescent="0.2">
      <c r="A61" t="s">
        <v>12</v>
      </c>
      <c r="B61">
        <v>2008</v>
      </c>
      <c r="C61">
        <v>115.95093</v>
      </c>
      <c r="D61">
        <v>76708.615049999993</v>
      </c>
    </row>
    <row r="62" spans="1:4" x14ac:dyDescent="0.2">
      <c r="A62" t="s">
        <v>13</v>
      </c>
      <c r="B62">
        <v>2008</v>
      </c>
      <c r="C62">
        <v>630.53328999999997</v>
      </c>
      <c r="D62">
        <v>350439.815</v>
      </c>
    </row>
    <row r="63" spans="1:4" x14ac:dyDescent="0.2">
      <c r="A63" t="s">
        <v>14</v>
      </c>
      <c r="B63">
        <v>2009</v>
      </c>
      <c r="C63">
        <v>0.15279000000000001</v>
      </c>
      <c r="D63">
        <v>182.68440000000001</v>
      </c>
    </row>
    <row r="64" spans="1:4" x14ac:dyDescent="0.2">
      <c r="A64" t="s">
        <v>7</v>
      </c>
      <c r="B64">
        <v>2009</v>
      </c>
      <c r="C64">
        <v>252.61995999999999</v>
      </c>
      <c r="D64">
        <v>165127.6361</v>
      </c>
    </row>
    <row r="65" spans="1:4" x14ac:dyDescent="0.2">
      <c r="A65" t="s">
        <v>8</v>
      </c>
      <c r="B65">
        <v>2009</v>
      </c>
      <c r="C65">
        <v>862.58466999999996</v>
      </c>
      <c r="D65">
        <v>528255.231429999</v>
      </c>
    </row>
    <row r="66" spans="1:4" x14ac:dyDescent="0.2">
      <c r="A66" t="s">
        <v>9</v>
      </c>
      <c r="B66">
        <v>2009</v>
      </c>
      <c r="C66">
        <v>13157.291300000001</v>
      </c>
      <c r="D66">
        <v>10089148.92</v>
      </c>
    </row>
    <row r="67" spans="1:4" x14ac:dyDescent="0.2">
      <c r="A67" t="s">
        <v>10</v>
      </c>
      <c r="B67">
        <v>2009</v>
      </c>
      <c r="C67">
        <v>8.9185999999999996</v>
      </c>
      <c r="D67">
        <v>4790.9027599999999</v>
      </c>
    </row>
    <row r="68" spans="1:4" x14ac:dyDescent="0.2">
      <c r="A68" t="s">
        <v>11</v>
      </c>
      <c r="B68">
        <v>2009</v>
      </c>
      <c r="C68">
        <v>500.22404999999998</v>
      </c>
      <c r="D68">
        <v>385324.61440000002</v>
      </c>
    </row>
    <row r="69" spans="1:4" x14ac:dyDescent="0.2">
      <c r="A69" t="s">
        <v>12</v>
      </c>
      <c r="B69">
        <v>2009</v>
      </c>
      <c r="C69">
        <v>123.62867</v>
      </c>
      <c r="D69">
        <v>85989.911399999997</v>
      </c>
    </row>
    <row r="70" spans="1:4" x14ac:dyDescent="0.2">
      <c r="A70" t="s">
        <v>13</v>
      </c>
      <c r="B70">
        <v>2009</v>
      </c>
      <c r="C70">
        <v>465.99741</v>
      </c>
      <c r="D70">
        <v>283145.3554</v>
      </c>
    </row>
    <row r="71" spans="1:4" x14ac:dyDescent="0.2">
      <c r="A71" t="s">
        <v>14</v>
      </c>
      <c r="B71">
        <v>2010</v>
      </c>
      <c r="C71">
        <v>5.4879299999999898</v>
      </c>
      <c r="D71">
        <v>3024.1486500000001</v>
      </c>
    </row>
    <row r="72" spans="1:4" x14ac:dyDescent="0.2">
      <c r="A72" t="s">
        <v>7</v>
      </c>
      <c r="B72">
        <v>2010</v>
      </c>
      <c r="C72">
        <v>690.44319999999902</v>
      </c>
      <c r="D72">
        <v>352972.5589</v>
      </c>
    </row>
    <row r="73" spans="1:4" x14ac:dyDescent="0.2">
      <c r="A73" t="s">
        <v>8</v>
      </c>
      <c r="B73">
        <v>2010</v>
      </c>
      <c r="C73">
        <v>2507.9824199999998</v>
      </c>
      <c r="D73">
        <v>1286653.956</v>
      </c>
    </row>
    <row r="74" spans="1:4" x14ac:dyDescent="0.2">
      <c r="A74" t="s">
        <v>9</v>
      </c>
      <c r="B74">
        <v>2010</v>
      </c>
      <c r="C74">
        <v>18699.140530000001</v>
      </c>
      <c r="D74">
        <v>13655267.261569999</v>
      </c>
    </row>
    <row r="75" spans="1:4" x14ac:dyDescent="0.2">
      <c r="A75" t="s">
        <v>10</v>
      </c>
      <c r="B75">
        <v>2010</v>
      </c>
      <c r="C75">
        <v>23.852460000000001</v>
      </c>
      <c r="D75">
        <v>11839.496649999999</v>
      </c>
    </row>
    <row r="76" spans="1:4" x14ac:dyDescent="0.2">
      <c r="A76" t="s">
        <v>11</v>
      </c>
      <c r="B76">
        <v>2010</v>
      </c>
      <c r="C76">
        <v>767.33798000000002</v>
      </c>
      <c r="D76">
        <v>578786.96669999999</v>
      </c>
    </row>
    <row r="77" spans="1:4" x14ac:dyDescent="0.2">
      <c r="A77" t="s">
        <v>12</v>
      </c>
      <c r="B77">
        <v>2010</v>
      </c>
      <c r="C77">
        <v>169.49994000000001</v>
      </c>
      <c r="D77">
        <v>112365.979989999</v>
      </c>
    </row>
    <row r="78" spans="1:4" x14ac:dyDescent="0.2">
      <c r="A78" t="s">
        <v>13</v>
      </c>
      <c r="B78">
        <v>2010</v>
      </c>
      <c r="C78">
        <v>3147.26944</v>
      </c>
      <c r="D78">
        <v>1365094.75</v>
      </c>
    </row>
    <row r="79" spans="1:4" x14ac:dyDescent="0.2">
      <c r="A79" t="s">
        <v>7</v>
      </c>
      <c r="B79">
        <v>2011</v>
      </c>
      <c r="C79">
        <v>500.51398999999998</v>
      </c>
      <c r="D79">
        <v>299776.8664</v>
      </c>
    </row>
    <row r="80" spans="1:4" x14ac:dyDescent="0.2">
      <c r="A80" t="s">
        <v>8</v>
      </c>
      <c r="B80">
        <v>2011</v>
      </c>
      <c r="C80">
        <v>2435.2324399999902</v>
      </c>
      <c r="D80">
        <v>1220683.4340599901</v>
      </c>
    </row>
    <row r="81" spans="1:4" x14ac:dyDescent="0.2">
      <c r="A81" t="s">
        <v>9</v>
      </c>
      <c r="B81">
        <v>2011</v>
      </c>
      <c r="C81">
        <v>15300.61764</v>
      </c>
      <c r="D81">
        <v>11747102.17</v>
      </c>
    </row>
    <row r="82" spans="1:4" x14ac:dyDescent="0.2">
      <c r="A82" t="s">
        <v>10</v>
      </c>
      <c r="B82">
        <v>2011</v>
      </c>
      <c r="C82">
        <v>17.24944</v>
      </c>
      <c r="D82">
        <v>10698.458139999901</v>
      </c>
    </row>
    <row r="83" spans="1:4" x14ac:dyDescent="0.2">
      <c r="A83" t="s">
        <v>11</v>
      </c>
      <c r="B83">
        <v>2011</v>
      </c>
      <c r="C83">
        <v>447.31245000000001</v>
      </c>
      <c r="D83">
        <v>334372.82779999898</v>
      </c>
    </row>
    <row r="84" spans="1:4" x14ac:dyDescent="0.2">
      <c r="A84" t="s">
        <v>12</v>
      </c>
      <c r="B84">
        <v>2011</v>
      </c>
      <c r="C84">
        <v>199.66126</v>
      </c>
      <c r="D84">
        <v>135102.67955999999</v>
      </c>
    </row>
    <row r="85" spans="1:4" x14ac:dyDescent="0.2">
      <c r="A85" t="s">
        <v>13</v>
      </c>
      <c r="B85">
        <v>2011</v>
      </c>
      <c r="C85">
        <v>3761.5656899999999</v>
      </c>
      <c r="D85">
        <v>1366378.41</v>
      </c>
    </row>
    <row r="86" spans="1:4" x14ac:dyDescent="0.2">
      <c r="A86" t="s">
        <v>14</v>
      </c>
      <c r="B86">
        <v>2012</v>
      </c>
      <c r="C86">
        <v>7.639E-2</v>
      </c>
      <c r="D86">
        <v>51.355440000000002</v>
      </c>
    </row>
    <row r="87" spans="1:4" x14ac:dyDescent="0.2">
      <c r="A87" t="s">
        <v>7</v>
      </c>
      <c r="B87">
        <v>2012</v>
      </c>
      <c r="C87">
        <v>468.76078000000001</v>
      </c>
      <c r="D87">
        <v>308222.576</v>
      </c>
    </row>
    <row r="88" spans="1:4" x14ac:dyDescent="0.2">
      <c r="A88" t="s">
        <v>8</v>
      </c>
      <c r="B88">
        <v>2012</v>
      </c>
      <c r="C88">
        <v>2196.5527099999999</v>
      </c>
      <c r="D88">
        <v>1213810.2930000001</v>
      </c>
    </row>
    <row r="89" spans="1:4" x14ac:dyDescent="0.2">
      <c r="A89" t="s">
        <v>9</v>
      </c>
      <c r="B89">
        <v>2012</v>
      </c>
      <c r="C89">
        <v>26228.574069999999</v>
      </c>
      <c r="D89">
        <v>20459096.879999999</v>
      </c>
    </row>
    <row r="90" spans="1:4" x14ac:dyDescent="0.2">
      <c r="A90" t="s">
        <v>10</v>
      </c>
      <c r="B90">
        <v>2012</v>
      </c>
      <c r="C90">
        <v>20.117190000000001</v>
      </c>
      <c r="D90">
        <v>11495.020060000001</v>
      </c>
    </row>
    <row r="91" spans="1:4" x14ac:dyDescent="0.2">
      <c r="A91" t="s">
        <v>11</v>
      </c>
      <c r="B91">
        <v>2012</v>
      </c>
      <c r="C91">
        <v>512.96043999999995</v>
      </c>
      <c r="D91">
        <v>392500.58260000002</v>
      </c>
    </row>
    <row r="92" spans="1:4" x14ac:dyDescent="0.2">
      <c r="A92" t="s">
        <v>12</v>
      </c>
      <c r="B92">
        <v>2012</v>
      </c>
      <c r="C92">
        <v>743.30655000000002</v>
      </c>
      <c r="D92">
        <v>473659.59240000002</v>
      </c>
    </row>
    <row r="93" spans="1:4" x14ac:dyDescent="0.2">
      <c r="A93" t="s">
        <v>13</v>
      </c>
      <c r="B93">
        <v>2012</v>
      </c>
      <c r="C93">
        <v>1777.75524</v>
      </c>
      <c r="D93">
        <v>913411.51307999995</v>
      </c>
    </row>
    <row r="94" spans="1:4" x14ac:dyDescent="0.2">
      <c r="A94" t="s">
        <v>7</v>
      </c>
      <c r="B94">
        <v>2013</v>
      </c>
      <c r="C94">
        <v>339.62630000000001</v>
      </c>
      <c r="D94">
        <v>230833.69200000001</v>
      </c>
    </row>
    <row r="95" spans="1:4" x14ac:dyDescent="0.2">
      <c r="A95" t="s">
        <v>8</v>
      </c>
      <c r="B95">
        <v>2013</v>
      </c>
      <c r="C95">
        <v>736.87997999999902</v>
      </c>
      <c r="D95">
        <v>478458.82650000002</v>
      </c>
    </row>
    <row r="96" spans="1:4" x14ac:dyDescent="0.2">
      <c r="A96" t="s">
        <v>9</v>
      </c>
      <c r="B96">
        <v>2013</v>
      </c>
      <c r="C96">
        <v>18462.704109999999</v>
      </c>
      <c r="D96">
        <v>14257186.5388899</v>
      </c>
    </row>
    <row r="97" spans="1:4" x14ac:dyDescent="0.2">
      <c r="A97" t="s">
        <v>10</v>
      </c>
      <c r="B97">
        <v>2013</v>
      </c>
      <c r="C97">
        <v>1.5987499999999999</v>
      </c>
      <c r="D97">
        <v>967.32438000000002</v>
      </c>
    </row>
    <row r="98" spans="1:4" x14ac:dyDescent="0.2">
      <c r="A98" t="s">
        <v>11</v>
      </c>
      <c r="B98">
        <v>2013</v>
      </c>
      <c r="C98">
        <v>537.13432</v>
      </c>
      <c r="D98">
        <v>398247.32829999999</v>
      </c>
    </row>
    <row r="99" spans="1:4" x14ac:dyDescent="0.2">
      <c r="A99" t="s">
        <v>12</v>
      </c>
      <c r="B99">
        <v>2013</v>
      </c>
      <c r="C99">
        <v>113.771779999999</v>
      </c>
      <c r="D99">
        <v>79763.560209999996</v>
      </c>
    </row>
    <row r="100" spans="1:4" x14ac:dyDescent="0.2">
      <c r="A100" t="s">
        <v>13</v>
      </c>
      <c r="B100">
        <v>2013</v>
      </c>
      <c r="C100">
        <v>602.06758000000002</v>
      </c>
      <c r="D100">
        <v>283643.09399999998</v>
      </c>
    </row>
    <row r="101" spans="1:4" x14ac:dyDescent="0.2">
      <c r="A101" t="s">
        <v>7</v>
      </c>
      <c r="B101">
        <v>2014</v>
      </c>
      <c r="C101">
        <v>1317.3660199999999</v>
      </c>
      <c r="D101">
        <v>936896.75509999995</v>
      </c>
    </row>
    <row r="102" spans="1:4" x14ac:dyDescent="0.2">
      <c r="A102" t="s">
        <v>8</v>
      </c>
      <c r="B102">
        <v>2014</v>
      </c>
      <c r="C102">
        <v>939.40677000000005</v>
      </c>
      <c r="D102">
        <v>604962.70739999996</v>
      </c>
    </row>
    <row r="103" spans="1:4" x14ac:dyDescent="0.2">
      <c r="A103" t="s">
        <v>9</v>
      </c>
      <c r="B103">
        <v>2014</v>
      </c>
      <c r="C103">
        <v>25861.661510000002</v>
      </c>
      <c r="D103">
        <v>20059741.1934999</v>
      </c>
    </row>
    <row r="104" spans="1:4" x14ac:dyDescent="0.2">
      <c r="A104" t="s">
        <v>10</v>
      </c>
      <c r="B104">
        <v>2014</v>
      </c>
      <c r="C104">
        <v>5.1081799999999999</v>
      </c>
      <c r="D104">
        <v>2879.0436599999998</v>
      </c>
    </row>
    <row r="105" spans="1:4" x14ac:dyDescent="0.2">
      <c r="A105" t="s">
        <v>11</v>
      </c>
      <c r="B105">
        <v>2014</v>
      </c>
      <c r="C105">
        <v>680.27233999999999</v>
      </c>
      <c r="D105">
        <v>513582.3824</v>
      </c>
    </row>
    <row r="106" spans="1:4" x14ac:dyDescent="0.2">
      <c r="A106" t="s">
        <v>12</v>
      </c>
      <c r="B106">
        <v>2014</v>
      </c>
      <c r="C106">
        <v>213.74056999999999</v>
      </c>
      <c r="D106">
        <v>148256.1342</v>
      </c>
    </row>
    <row r="107" spans="1:4" x14ac:dyDescent="0.2">
      <c r="A107" t="s">
        <v>13</v>
      </c>
      <c r="B107">
        <v>2014</v>
      </c>
      <c r="C107">
        <v>381.01686999999998</v>
      </c>
      <c r="D107">
        <v>234694.83350000001</v>
      </c>
    </row>
    <row r="108" spans="1:4" x14ac:dyDescent="0.2">
      <c r="A108" t="s">
        <v>14</v>
      </c>
      <c r="B108">
        <v>2015</v>
      </c>
      <c r="C108">
        <v>3.50427</v>
      </c>
      <c r="D108">
        <v>2167.2955499999998</v>
      </c>
    </row>
    <row r="109" spans="1:4" x14ac:dyDescent="0.2">
      <c r="A109" t="s">
        <v>7</v>
      </c>
      <c r="B109">
        <v>2015</v>
      </c>
      <c r="C109">
        <v>653.32968000000005</v>
      </c>
      <c r="D109">
        <v>465591.86129999999</v>
      </c>
    </row>
    <row r="110" spans="1:4" x14ac:dyDescent="0.2">
      <c r="A110" t="s">
        <v>8</v>
      </c>
      <c r="B110">
        <v>2015</v>
      </c>
      <c r="C110">
        <v>1127.3445999999999</v>
      </c>
      <c r="D110">
        <v>582473.3149</v>
      </c>
    </row>
    <row r="111" spans="1:4" x14ac:dyDescent="0.2">
      <c r="A111" t="s">
        <v>9</v>
      </c>
      <c r="B111">
        <v>2015</v>
      </c>
      <c r="C111">
        <v>33936.153959999901</v>
      </c>
      <c r="D111">
        <v>26611998.77</v>
      </c>
    </row>
    <row r="112" spans="1:4" x14ac:dyDescent="0.2">
      <c r="A112" t="s">
        <v>10</v>
      </c>
      <c r="B112">
        <v>2015</v>
      </c>
      <c r="C112">
        <v>8.6616199999999992</v>
      </c>
      <c r="D112">
        <v>7130.3567499999999</v>
      </c>
    </row>
    <row r="113" spans="1:4" x14ac:dyDescent="0.2">
      <c r="A113" t="s">
        <v>11</v>
      </c>
      <c r="B113">
        <v>2015</v>
      </c>
      <c r="C113">
        <v>394.474209999999</v>
      </c>
      <c r="D113">
        <v>288719.70039999997</v>
      </c>
    </row>
    <row r="114" spans="1:4" x14ac:dyDescent="0.2">
      <c r="A114" t="s">
        <v>12</v>
      </c>
      <c r="B114">
        <v>2015</v>
      </c>
      <c r="C114">
        <v>88.395700000000005</v>
      </c>
      <c r="D114">
        <v>56245.223939999902</v>
      </c>
    </row>
    <row r="115" spans="1:4" x14ac:dyDescent="0.2">
      <c r="A115" t="s">
        <v>13</v>
      </c>
      <c r="B115">
        <v>2015</v>
      </c>
      <c r="C115">
        <v>642.08019000000002</v>
      </c>
      <c r="D115">
        <v>276913.3812</v>
      </c>
    </row>
    <row r="116" spans="1:4" x14ac:dyDescent="0.2">
      <c r="A116" t="s">
        <v>14</v>
      </c>
      <c r="B116">
        <v>2016</v>
      </c>
      <c r="C116">
        <v>8.9973299999999998</v>
      </c>
      <c r="D116">
        <v>6058.6249600000001</v>
      </c>
    </row>
    <row r="117" spans="1:4" x14ac:dyDescent="0.2">
      <c r="A117" t="s">
        <v>7</v>
      </c>
      <c r="B117">
        <v>2016</v>
      </c>
      <c r="C117">
        <v>1065.12096</v>
      </c>
      <c r="D117">
        <v>699323.77819999994</v>
      </c>
    </row>
    <row r="118" spans="1:4" x14ac:dyDescent="0.2">
      <c r="A118" t="s">
        <v>8</v>
      </c>
      <c r="B118">
        <v>2016</v>
      </c>
      <c r="C118">
        <v>1720.56674</v>
      </c>
      <c r="D118">
        <v>846708.73979999998</v>
      </c>
    </row>
    <row r="119" spans="1:4" x14ac:dyDescent="0.2">
      <c r="A119" t="s">
        <v>9</v>
      </c>
      <c r="B119">
        <v>2016</v>
      </c>
      <c r="C119">
        <v>63092.183230000002</v>
      </c>
      <c r="D119">
        <v>49240462.240000002</v>
      </c>
    </row>
    <row r="120" spans="1:4" x14ac:dyDescent="0.2">
      <c r="A120" t="s">
        <v>10</v>
      </c>
      <c r="B120">
        <v>2016</v>
      </c>
      <c r="C120">
        <v>10.76324</v>
      </c>
      <c r="D120">
        <v>6283.7816000000003</v>
      </c>
    </row>
    <row r="121" spans="1:4" x14ac:dyDescent="0.2">
      <c r="A121" t="s">
        <v>11</v>
      </c>
      <c r="B121">
        <v>2016</v>
      </c>
      <c r="C121">
        <v>734.80520000000001</v>
      </c>
      <c r="D121">
        <v>533218.84779999999</v>
      </c>
    </row>
    <row r="122" spans="1:4" x14ac:dyDescent="0.2">
      <c r="A122" t="s">
        <v>12</v>
      </c>
      <c r="B122">
        <v>2016</v>
      </c>
      <c r="C122">
        <v>134.34971999999999</v>
      </c>
      <c r="D122">
        <v>85134.441139999995</v>
      </c>
    </row>
    <row r="123" spans="1:4" x14ac:dyDescent="0.2">
      <c r="A123" t="s">
        <v>13</v>
      </c>
      <c r="B123">
        <v>2016</v>
      </c>
      <c r="C123">
        <v>3711.7173499999999</v>
      </c>
      <c r="D123">
        <v>1582703.915</v>
      </c>
    </row>
    <row r="124" spans="1:4" x14ac:dyDescent="0.2">
      <c r="A124" t="s">
        <v>14</v>
      </c>
      <c r="B124">
        <v>2017</v>
      </c>
      <c r="C124">
        <v>0.99054999999999904</v>
      </c>
      <c r="D124">
        <v>636.69158000000004</v>
      </c>
    </row>
    <row r="125" spans="1:4" x14ac:dyDescent="0.2">
      <c r="A125" t="s">
        <v>7</v>
      </c>
      <c r="B125">
        <v>2017</v>
      </c>
      <c r="C125">
        <v>2002.2139400000001</v>
      </c>
      <c r="D125">
        <v>1409754.318</v>
      </c>
    </row>
    <row r="126" spans="1:4" x14ac:dyDescent="0.2">
      <c r="A126" t="s">
        <v>8</v>
      </c>
      <c r="B126">
        <v>2017</v>
      </c>
      <c r="C126">
        <v>1921.46037</v>
      </c>
      <c r="D126">
        <v>955822.59109999996</v>
      </c>
    </row>
    <row r="127" spans="1:4" x14ac:dyDescent="0.2">
      <c r="A127" t="s">
        <v>9</v>
      </c>
      <c r="B127">
        <v>2017</v>
      </c>
      <c r="C127">
        <v>47286.11447</v>
      </c>
      <c r="D127">
        <v>36576446.340000004</v>
      </c>
    </row>
    <row r="128" spans="1:4" x14ac:dyDescent="0.2">
      <c r="A128" t="s">
        <v>10</v>
      </c>
      <c r="B128">
        <v>2017</v>
      </c>
      <c r="C128">
        <v>16.10211</v>
      </c>
      <c r="D128">
        <v>9952.5379099999991</v>
      </c>
    </row>
    <row r="129" spans="1:4" x14ac:dyDescent="0.2">
      <c r="A129" t="s">
        <v>11</v>
      </c>
      <c r="B129">
        <v>2017</v>
      </c>
      <c r="C129">
        <v>900.74702000000002</v>
      </c>
      <c r="D129">
        <v>668166.79460000002</v>
      </c>
    </row>
    <row r="130" spans="1:4" x14ac:dyDescent="0.2">
      <c r="A130" t="s">
        <v>12</v>
      </c>
      <c r="B130">
        <v>2017</v>
      </c>
      <c r="C130">
        <v>237.43304000000001</v>
      </c>
      <c r="D130">
        <v>152640.66130000001</v>
      </c>
    </row>
    <row r="131" spans="1:4" x14ac:dyDescent="0.2">
      <c r="A131" t="s">
        <v>13</v>
      </c>
      <c r="B131">
        <v>2017</v>
      </c>
      <c r="C131">
        <v>3765.2298299999902</v>
      </c>
      <c r="D131">
        <v>1747254.1629999999</v>
      </c>
    </row>
    <row r="132" spans="1:4" x14ac:dyDescent="0.2">
      <c r="A132" t="s">
        <v>14</v>
      </c>
      <c r="B132">
        <v>2018</v>
      </c>
      <c r="C132">
        <v>15.9999</v>
      </c>
      <c r="D132">
        <v>10278.99655</v>
      </c>
    </row>
    <row r="133" spans="1:4" x14ac:dyDescent="0.2">
      <c r="A133" t="s">
        <v>7</v>
      </c>
      <c r="B133">
        <v>2018</v>
      </c>
      <c r="C133">
        <v>1071.27702</v>
      </c>
      <c r="D133">
        <v>759836.00690000004</v>
      </c>
    </row>
    <row r="134" spans="1:4" x14ac:dyDescent="0.2">
      <c r="A134" t="s">
        <v>8</v>
      </c>
      <c r="B134">
        <v>2018</v>
      </c>
      <c r="C134">
        <v>529.21888999999999</v>
      </c>
      <c r="D134">
        <v>303149.87689999997</v>
      </c>
    </row>
    <row r="135" spans="1:4" x14ac:dyDescent="0.2">
      <c r="A135" t="s">
        <v>9</v>
      </c>
      <c r="B135">
        <v>2018</v>
      </c>
      <c r="C135">
        <v>51810.674310000002</v>
      </c>
      <c r="D135">
        <v>40386991.130000003</v>
      </c>
    </row>
    <row r="136" spans="1:4" x14ac:dyDescent="0.2">
      <c r="A136" t="s">
        <v>10</v>
      </c>
      <c r="B136">
        <v>2018</v>
      </c>
      <c r="C136">
        <v>18.497720000000001</v>
      </c>
      <c r="D136">
        <v>10244.124329999901</v>
      </c>
    </row>
    <row r="137" spans="1:4" x14ac:dyDescent="0.2">
      <c r="A137" t="s">
        <v>11</v>
      </c>
      <c r="B137">
        <v>2018</v>
      </c>
      <c r="C137">
        <v>650.81758000000002</v>
      </c>
      <c r="D137">
        <v>484292.3983</v>
      </c>
    </row>
    <row r="138" spans="1:4" x14ac:dyDescent="0.2">
      <c r="A138" t="s">
        <v>12</v>
      </c>
      <c r="B138">
        <v>2018</v>
      </c>
      <c r="C138">
        <v>57.68421</v>
      </c>
      <c r="D138">
        <v>38595.242969999999</v>
      </c>
    </row>
    <row r="139" spans="1:4" x14ac:dyDescent="0.2">
      <c r="A139" t="s">
        <v>13</v>
      </c>
      <c r="B139">
        <v>2018</v>
      </c>
      <c r="C139">
        <v>838.19092000000001</v>
      </c>
      <c r="D139">
        <v>419660.2867</v>
      </c>
    </row>
    <row r="140" spans="1:4" x14ac:dyDescent="0.2">
      <c r="A140" t="s">
        <v>14</v>
      </c>
      <c r="B140">
        <v>2019</v>
      </c>
      <c r="C140">
        <v>5.3389899999999999</v>
      </c>
      <c r="D140">
        <v>3738.9393299999902</v>
      </c>
    </row>
    <row r="141" spans="1:4" x14ac:dyDescent="0.2">
      <c r="A141" t="s">
        <v>7</v>
      </c>
      <c r="B141">
        <v>2019</v>
      </c>
      <c r="C141">
        <v>998.06656999999996</v>
      </c>
      <c r="D141">
        <v>710765.79040000006</v>
      </c>
    </row>
    <row r="142" spans="1:4" x14ac:dyDescent="0.2">
      <c r="A142" t="s">
        <v>8</v>
      </c>
      <c r="B142">
        <v>2019</v>
      </c>
      <c r="C142">
        <v>636.63914999999997</v>
      </c>
      <c r="D142">
        <v>394552.1924</v>
      </c>
    </row>
    <row r="143" spans="1:4" x14ac:dyDescent="0.2">
      <c r="A143" t="s">
        <v>9</v>
      </c>
      <c r="B143">
        <v>2019</v>
      </c>
      <c r="C143">
        <v>57654.0554999999</v>
      </c>
      <c r="D143">
        <v>44831697.68</v>
      </c>
    </row>
    <row r="144" spans="1:4" x14ac:dyDescent="0.2">
      <c r="A144" t="s">
        <v>10</v>
      </c>
      <c r="B144">
        <v>2019</v>
      </c>
      <c r="C144">
        <v>4.4935799999999997</v>
      </c>
      <c r="D144">
        <v>2547.2896499999902</v>
      </c>
    </row>
    <row r="145" spans="1:4" x14ac:dyDescent="0.2">
      <c r="A145" t="s">
        <v>11</v>
      </c>
      <c r="B145">
        <v>2019</v>
      </c>
      <c r="C145">
        <v>505.72277000000003</v>
      </c>
      <c r="D145">
        <v>378025.8026</v>
      </c>
    </row>
    <row r="146" spans="1:4" x14ac:dyDescent="0.2">
      <c r="A146" t="s">
        <v>12</v>
      </c>
      <c r="B146">
        <v>2019</v>
      </c>
      <c r="C146">
        <v>67.713440000000006</v>
      </c>
      <c r="D146">
        <v>46823.714440000003</v>
      </c>
    </row>
    <row r="147" spans="1:4" x14ac:dyDescent="0.2">
      <c r="A147" t="s">
        <v>13</v>
      </c>
      <c r="B147">
        <v>2019</v>
      </c>
      <c r="C147">
        <v>981.26058999999998</v>
      </c>
      <c r="D147">
        <v>489110.33750000002</v>
      </c>
    </row>
    <row r="148" spans="1:4" x14ac:dyDescent="0.2">
      <c r="A148" t="s">
        <v>14</v>
      </c>
      <c r="B148">
        <v>2020</v>
      </c>
      <c r="C148">
        <v>2.1362399999999999</v>
      </c>
      <c r="D148">
        <v>1501.72156</v>
      </c>
    </row>
    <row r="149" spans="1:4" x14ac:dyDescent="0.2">
      <c r="A149" t="s">
        <v>7</v>
      </c>
      <c r="B149">
        <v>2020</v>
      </c>
      <c r="C149">
        <v>1169.2563599999901</v>
      </c>
      <c r="D149">
        <v>797494.33589999995</v>
      </c>
    </row>
    <row r="150" spans="1:4" x14ac:dyDescent="0.2">
      <c r="A150" t="s">
        <v>8</v>
      </c>
      <c r="B150">
        <v>2020</v>
      </c>
      <c r="C150">
        <v>973.28589999999997</v>
      </c>
      <c r="D150">
        <v>587699.76610000001</v>
      </c>
    </row>
    <row r="151" spans="1:4" x14ac:dyDescent="0.2">
      <c r="A151" t="s">
        <v>9</v>
      </c>
      <c r="B151">
        <v>2020</v>
      </c>
      <c r="C151">
        <v>64358.426549999996</v>
      </c>
      <c r="D151">
        <v>49897716.119999997</v>
      </c>
    </row>
    <row r="152" spans="1:4" x14ac:dyDescent="0.2">
      <c r="A152" t="s">
        <v>10</v>
      </c>
      <c r="B152">
        <v>2020</v>
      </c>
      <c r="C152">
        <v>7.61348</v>
      </c>
      <c r="D152">
        <v>4896.9851200000003</v>
      </c>
    </row>
    <row r="153" spans="1:4" x14ac:dyDescent="0.2">
      <c r="A153" t="s">
        <v>11</v>
      </c>
      <c r="B153">
        <v>2020</v>
      </c>
      <c r="C153">
        <v>658.33474999999999</v>
      </c>
      <c r="D153">
        <v>479119.70716999902</v>
      </c>
    </row>
    <row r="154" spans="1:4" x14ac:dyDescent="0.2">
      <c r="A154" t="s">
        <v>12</v>
      </c>
      <c r="B154">
        <v>2020</v>
      </c>
      <c r="C154">
        <v>94.948629999999994</v>
      </c>
      <c r="D154">
        <v>68612.637459999998</v>
      </c>
    </row>
    <row r="155" spans="1:4" x14ac:dyDescent="0.2">
      <c r="A155" t="s">
        <v>13</v>
      </c>
      <c r="B155">
        <v>2020</v>
      </c>
      <c r="C155">
        <v>2637.4599199999998</v>
      </c>
      <c r="D155">
        <v>1495535.594</v>
      </c>
    </row>
    <row r="156" spans="1:4" x14ac:dyDescent="0.2">
      <c r="A156" t="s">
        <v>14</v>
      </c>
      <c r="B156">
        <v>2021</v>
      </c>
      <c r="C156">
        <v>4.4261200000000001</v>
      </c>
      <c r="D156">
        <v>3285.2541900000001</v>
      </c>
    </row>
    <row r="157" spans="1:4" x14ac:dyDescent="0.2">
      <c r="A157" t="s">
        <v>7</v>
      </c>
      <c r="B157">
        <v>2021</v>
      </c>
      <c r="C157">
        <v>873.38798999999995</v>
      </c>
      <c r="D157">
        <v>595048.76500000001</v>
      </c>
    </row>
    <row r="158" spans="1:4" x14ac:dyDescent="0.2">
      <c r="A158" t="s">
        <v>8</v>
      </c>
      <c r="B158">
        <v>2021</v>
      </c>
      <c r="C158">
        <v>1102.3051499999999</v>
      </c>
      <c r="D158">
        <v>645073.68019999994</v>
      </c>
    </row>
    <row r="159" spans="1:4" x14ac:dyDescent="0.2">
      <c r="A159" t="s">
        <v>9</v>
      </c>
      <c r="B159">
        <v>2021</v>
      </c>
      <c r="C159">
        <v>95829.653550000003</v>
      </c>
      <c r="D159">
        <v>74594433.370000005</v>
      </c>
    </row>
    <row r="160" spans="1:4" x14ac:dyDescent="0.2">
      <c r="A160" t="s">
        <v>10</v>
      </c>
      <c r="B160">
        <v>2021</v>
      </c>
      <c r="C160">
        <v>4.8723900000000002</v>
      </c>
      <c r="D160">
        <v>3010.3191900000002</v>
      </c>
    </row>
    <row r="161" spans="1:4" x14ac:dyDescent="0.2">
      <c r="A161" t="s">
        <v>11</v>
      </c>
      <c r="B161">
        <v>2021</v>
      </c>
      <c r="C161">
        <v>668.94290999999998</v>
      </c>
      <c r="D161">
        <v>488249.24920000002</v>
      </c>
    </row>
    <row r="162" spans="1:4" x14ac:dyDescent="0.2">
      <c r="A162" t="s">
        <v>12</v>
      </c>
      <c r="B162">
        <v>2021</v>
      </c>
      <c r="C162">
        <v>80.324209999999994</v>
      </c>
      <c r="D162">
        <v>52934.574979999998</v>
      </c>
    </row>
    <row r="163" spans="1:4" x14ac:dyDescent="0.2">
      <c r="A163" t="s">
        <v>13</v>
      </c>
      <c r="B163">
        <v>2021</v>
      </c>
      <c r="C163">
        <v>2965.2936199999999</v>
      </c>
      <c r="D163">
        <v>1617226.0959999999</v>
      </c>
    </row>
    <row r="164" spans="1:4" x14ac:dyDescent="0.2">
      <c r="A164" t="s">
        <v>14</v>
      </c>
      <c r="B164">
        <v>2022</v>
      </c>
      <c r="C164">
        <v>0.53369</v>
      </c>
      <c r="D164">
        <v>376.85415</v>
      </c>
    </row>
    <row r="165" spans="1:4" x14ac:dyDescent="0.2">
      <c r="A165" t="s">
        <v>7</v>
      </c>
      <c r="B165">
        <v>2022</v>
      </c>
      <c r="C165">
        <v>2347.6844299999998</v>
      </c>
      <c r="D165">
        <v>1665616.9240000001</v>
      </c>
    </row>
    <row r="166" spans="1:4" x14ac:dyDescent="0.2">
      <c r="A166" t="s">
        <v>8</v>
      </c>
      <c r="B166">
        <v>2022</v>
      </c>
      <c r="C166">
        <v>930.92200000000003</v>
      </c>
      <c r="D166">
        <v>553199.80814999901</v>
      </c>
    </row>
    <row r="167" spans="1:4" x14ac:dyDescent="0.2">
      <c r="A167" t="s">
        <v>9</v>
      </c>
      <c r="B167">
        <v>2022</v>
      </c>
      <c r="C167">
        <v>123438.1024</v>
      </c>
      <c r="D167">
        <v>96221893.420000002</v>
      </c>
    </row>
    <row r="168" spans="1:4" x14ac:dyDescent="0.2">
      <c r="A168" t="s">
        <v>10</v>
      </c>
      <c r="B168">
        <v>2022</v>
      </c>
      <c r="C168">
        <v>5.5726800000000001</v>
      </c>
      <c r="D168">
        <v>3547.0030299999999</v>
      </c>
    </row>
    <row r="169" spans="1:4" x14ac:dyDescent="0.2">
      <c r="A169" t="s">
        <v>11</v>
      </c>
      <c r="B169">
        <v>2022</v>
      </c>
      <c r="C169">
        <v>743.53069000000005</v>
      </c>
      <c r="D169">
        <v>541005.48127999995</v>
      </c>
    </row>
    <row r="170" spans="1:4" x14ac:dyDescent="0.2">
      <c r="A170" t="s">
        <v>12</v>
      </c>
      <c r="B170">
        <v>2022</v>
      </c>
      <c r="C170">
        <v>261.97003999999998</v>
      </c>
      <c r="D170">
        <v>181028.4161</v>
      </c>
    </row>
    <row r="171" spans="1:4" x14ac:dyDescent="0.2">
      <c r="A171" t="s">
        <v>13</v>
      </c>
      <c r="B171">
        <v>2022</v>
      </c>
      <c r="C171">
        <v>4693.4115400000001</v>
      </c>
      <c r="D171">
        <v>2675489.1880000001</v>
      </c>
    </row>
    <row r="172" spans="1:4" x14ac:dyDescent="0.2">
      <c r="A172" t="s">
        <v>14</v>
      </c>
      <c r="B172">
        <v>2023</v>
      </c>
      <c r="C172">
        <v>2.2141199999999999</v>
      </c>
      <c r="D172">
        <v>1575.58609</v>
      </c>
    </row>
    <row r="173" spans="1:4" x14ac:dyDescent="0.2">
      <c r="A173" t="s">
        <v>7</v>
      </c>
      <c r="B173">
        <v>2023</v>
      </c>
      <c r="C173">
        <v>957.73681999999997</v>
      </c>
      <c r="D173">
        <v>693521.08592999994</v>
      </c>
    </row>
    <row r="174" spans="1:4" x14ac:dyDescent="0.2">
      <c r="A174" t="s">
        <v>8</v>
      </c>
      <c r="B174">
        <v>2023</v>
      </c>
      <c r="C174">
        <v>634.47523999999999</v>
      </c>
      <c r="D174">
        <v>392554.71919999999</v>
      </c>
    </row>
    <row r="175" spans="1:4" x14ac:dyDescent="0.2">
      <c r="A175" t="s">
        <v>9</v>
      </c>
      <c r="B175">
        <v>2023</v>
      </c>
      <c r="C175">
        <v>36960.081969999999</v>
      </c>
      <c r="D175">
        <v>27998807.309999999</v>
      </c>
    </row>
    <row r="176" spans="1:4" x14ac:dyDescent="0.2">
      <c r="A176" t="s">
        <v>10</v>
      </c>
      <c r="B176">
        <v>2023</v>
      </c>
      <c r="C176">
        <v>6.30321</v>
      </c>
      <c r="D176">
        <v>5174.5510799999902</v>
      </c>
    </row>
    <row r="177" spans="1:4" x14ac:dyDescent="0.2">
      <c r="A177" t="s">
        <v>11</v>
      </c>
      <c r="B177">
        <v>2023</v>
      </c>
      <c r="C177">
        <v>528.11843999999996</v>
      </c>
      <c r="D177">
        <v>383221.8481</v>
      </c>
    </row>
    <row r="178" spans="1:4" x14ac:dyDescent="0.2">
      <c r="A178" t="s">
        <v>12</v>
      </c>
      <c r="B178">
        <v>2023</v>
      </c>
      <c r="C178">
        <v>32.37744</v>
      </c>
      <c r="D178">
        <v>22753.250749999999</v>
      </c>
    </row>
    <row r="179" spans="1:4" x14ac:dyDescent="0.2">
      <c r="A179" t="s">
        <v>13</v>
      </c>
      <c r="B179">
        <v>2023</v>
      </c>
      <c r="C179">
        <v>3044.8507300000001</v>
      </c>
      <c r="D179">
        <v>1580418.9809999999</v>
      </c>
    </row>
    <row r="180" spans="1:4" x14ac:dyDescent="0.2">
      <c r="A180" t="s">
        <v>14</v>
      </c>
      <c r="B180">
        <v>2024</v>
      </c>
      <c r="C180">
        <v>2.9029400000000001</v>
      </c>
      <c r="D180">
        <v>2289.2089900000001</v>
      </c>
    </row>
    <row r="181" spans="1:4" x14ac:dyDescent="0.2">
      <c r="A181" t="s">
        <v>7</v>
      </c>
      <c r="B181">
        <v>2024</v>
      </c>
      <c r="C181">
        <v>5688.2728099999904</v>
      </c>
      <c r="D181">
        <v>3443617.1409999998</v>
      </c>
    </row>
    <row r="182" spans="1:4" x14ac:dyDescent="0.2">
      <c r="A182" t="s">
        <v>8</v>
      </c>
      <c r="B182">
        <v>2024</v>
      </c>
      <c r="C182">
        <v>2629.3146400000001</v>
      </c>
      <c r="D182">
        <v>1337886.8439499999</v>
      </c>
    </row>
    <row r="183" spans="1:4" x14ac:dyDescent="0.2">
      <c r="A183" t="s">
        <v>9</v>
      </c>
      <c r="B183">
        <v>2024</v>
      </c>
      <c r="C183">
        <v>67307.908469999995</v>
      </c>
      <c r="D183">
        <v>53994609.090000004</v>
      </c>
    </row>
    <row r="184" spans="1:4" x14ac:dyDescent="0.2">
      <c r="A184" t="s">
        <v>10</v>
      </c>
      <c r="B184">
        <v>2024</v>
      </c>
      <c r="C184">
        <v>7.4046299999999903</v>
      </c>
      <c r="D184">
        <v>4806.6626800000004</v>
      </c>
    </row>
    <row r="185" spans="1:4" x14ac:dyDescent="0.2">
      <c r="A185" t="s">
        <v>11</v>
      </c>
      <c r="B185">
        <v>2024</v>
      </c>
      <c r="C185">
        <v>1425.6922099999999</v>
      </c>
      <c r="D185">
        <v>1090907.3030000001</v>
      </c>
    </row>
    <row r="186" spans="1:4" x14ac:dyDescent="0.2">
      <c r="A186" t="s">
        <v>12</v>
      </c>
      <c r="B186">
        <v>2024</v>
      </c>
      <c r="C186">
        <v>111.23124</v>
      </c>
      <c r="D186">
        <v>67574.281900000002</v>
      </c>
    </row>
    <row r="187" spans="1:4" x14ac:dyDescent="0.2">
      <c r="A187" t="s">
        <v>13</v>
      </c>
      <c r="B187">
        <v>2024</v>
      </c>
      <c r="C187">
        <v>66237.107310000007</v>
      </c>
      <c r="D187">
        <v>30006850.98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consolidated_tree_cover_details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Femi Adisa</cp:lastModifiedBy>
  <dcterms:created xsi:type="dcterms:W3CDTF">2026-06-16T13:53:54Z</dcterms:created>
  <dcterms:modified xsi:type="dcterms:W3CDTF">2026-06-24T12:43:21Z</dcterms:modified>
</cp:coreProperties>
</file>